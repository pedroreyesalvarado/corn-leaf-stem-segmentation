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Audi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<sst xmlns="http://schemas.openxmlformats.org/spreadsheetml/2006/main" count="419" uniqueCount="126">
  <si>
    <t xml:space="preserve">Label audit: rules (defined before reviewing)</t>
  </si>
  <si>
    <t xml:space="preserve">Error type</t>
  </si>
  <si>
    <t xml:space="preserve">False positive</t>
  </si>
  <si>
    <t xml:space="preserve">Appears in *_pred.jpg but NOT in *_labels.jpg</t>
  </si>
  <si>
    <t xml:space="preserve">False negative</t>
  </si>
  <si>
    <t xml:space="preserve">Appears in *_labels.jpg but the model did NOT detect it in *_pred.jpg</t>
  </si>
  <si>
    <t xml:space="preserve">Verdict (false positives)</t>
  </si>
  <si>
    <t xml:space="preserve">Missing label</t>
  </si>
  <si>
    <t xml:space="preserve">Clear, complete, visible leaf or stem that should have been labeled</t>
  </si>
  <si>
    <t xml:space="preserve">Unclear</t>
  </si>
  <si>
    <t xml:space="preserve">More than half outside the frame, heavily occluded, or not distinguishable at this resolution</t>
  </si>
  <si>
    <t xml:space="preserve">Model error</t>
  </si>
  <si>
    <t xml:space="preserve">Duplicate mask on the same object, or something that is not a leaf or stem (ear of corn, hand, soil, text)</t>
  </si>
  <si>
    <t xml:space="preserve">Likely cause (false negatives)</t>
  </si>
  <si>
    <t xml:space="preserve">Thin / Small</t>
  </si>
  <si>
    <t xml:space="preserve">Narrow or distant object (typical of stems)</t>
  </si>
  <si>
    <t xml:space="preserve">Occluded</t>
  </si>
  <si>
    <t xml:space="preserve">Partially covered by another leaf</t>
  </si>
  <si>
    <t xml:space="preserve">Border</t>
  </si>
  <si>
    <t xml:space="preserve">Cut by the image frame</t>
  </si>
  <si>
    <t xml:space="preserve">Unknown</t>
  </si>
  <si>
    <t xml:space="preserve">No apparent reason</t>
  </si>
  <si>
    <t xml:space="preserve">Sample and method</t>
  </si>
  <si>
    <t xml:space="preserve">Sample</t>
  </si>
  <si>
    <t xml:space="preserve">All 16 images of val_batch0 (yolo11n-seg, first validation batch), reviewed in order</t>
  </si>
  <si>
    <t xml:space="preserve">Rows</t>
  </si>
  <si>
    <t xml:space="preserve">One row per error, not per image</t>
  </si>
  <si>
    <t xml:space="preserve">Image ID</t>
  </si>
  <si>
    <t xml:space="preserve">R = row and I = image position in the 4x4 val_batch0 mosaic</t>
  </si>
  <si>
    <t xml:space="preserve">Caveat</t>
  </si>
  <si>
    <t xml:space="preserve">Reviewed from downsized mosaic images; 'Unclear' cases and the counts for R2/I3 are approximate</t>
  </si>
  <si>
    <t xml:space="preserve">Image</t>
  </si>
  <si>
    <t xml:space="preserve">Class</t>
  </si>
  <si>
    <t xml:space="preserve">Confidence</t>
  </si>
  <si>
    <t xml:space="preserve">Verdict</t>
  </si>
  <si>
    <t xml:space="preserve">Likely cause (FN)</t>
  </si>
  <si>
    <t xml:space="preserve">Note</t>
  </si>
  <si>
    <t xml:space="preserve">val_batch0 / R1 / I1</t>
  </si>
  <si>
    <t xml:space="preserve">Leaf</t>
  </si>
  <si>
    <t xml:space="preserve">Clear leaf, left-center</t>
  </si>
  <si>
    <t xml:space="preserve">Large leaf, bottom right</t>
  </si>
  <si>
    <t xml:space="preserve">Top-right corner, cut by the border; confidence unreadable</t>
  </si>
  <si>
    <t xml:space="preserve">val_batch0 / R1 / I2</t>
  </si>
  <si>
    <t xml:space="preserve">Duplicate: second box on the diagonal leaf in the center</t>
  </si>
  <si>
    <t xml:space="preserve">Bottom center, label hidden; may duplicate the 0.4 prediction</t>
  </si>
  <si>
    <t xml:space="preserve">val_batch0 / R1 / I4</t>
  </si>
  <si>
    <t xml:space="preserve">Ear of corn (husk), not a leaf</t>
  </si>
  <si>
    <t xml:space="preserve">Duplicate: large box on the same ear of corn</t>
  </si>
  <si>
    <t xml:space="preserve">Stem</t>
  </si>
  <si>
    <t xml:space="preserve">Bottom center; possibly the continuation of the labeled stem</t>
  </si>
  <si>
    <t xml:space="preserve">Bottom right, next to the person's arm</t>
  </si>
  <si>
    <t xml:space="preserve">val_batch0 / R2 / I1</t>
  </si>
  <si>
    <t xml:space="preserve">Visible leaf on the left</t>
  </si>
  <si>
    <t xml:space="preserve">Top left, low confidence</t>
  </si>
  <si>
    <t xml:space="preserve">Wrong class: stem predicted on the small leaf in the center</t>
  </si>
  <si>
    <t xml:space="preserve">val_batch0 / R2 / I2</t>
  </si>
  <si>
    <t xml:space="preserve">Duplicate of the large diagonal leaf (1)</t>
  </si>
  <si>
    <t xml:space="preserve">Duplicate of the large diagonal leaf (2)</t>
  </si>
  <si>
    <t xml:space="preserve">Duplicate of the upper central stem</t>
  </si>
  <si>
    <t xml:space="preserve">Bottom center; possibly the continuation of the stem</t>
  </si>
  <si>
    <t xml:space="preserve">val_batch0 / R2 / I4</t>
  </si>
  <si>
    <t xml:space="preserve">Leaf top right (image has only stems labeled)</t>
  </si>
  <si>
    <t xml:space="preserve">Leaf left-center, over the ear of corn</t>
  </si>
  <si>
    <t xml:space="preserve">Center, near the tip of the ear of corn</t>
  </si>
  <si>
    <t xml:space="preserve">Left border; object and class hard to see</t>
  </si>
  <si>
    <t xml:space="preserve">val_batch0 / R3 / I1</t>
  </si>
  <si>
    <t xml:space="preserve">Top-left border, leaf cut by the frame</t>
  </si>
  <si>
    <t xml:space="preserve">Thin object next to the scissors; not a leaf</t>
  </si>
  <si>
    <t xml:space="preserve">Wrong class: the central stem predicted as a leaf</t>
  </si>
  <si>
    <t xml:space="preserve">Duplicate over the central stem area</t>
  </si>
  <si>
    <t xml:space="preserve">val_batch0 / R3 / I3</t>
  </si>
  <si>
    <t xml:space="preserve">Duplicate on the horizontal leaf at the top (1)</t>
  </si>
  <si>
    <t xml:space="preserve">Duplicate on the horizontal leaf at the top (2)</t>
  </si>
  <si>
    <t xml:space="preserve">Top center, possible stem between leaves</t>
  </si>
  <si>
    <t xml:space="preserve">val_batch0 / R4 / I1</t>
  </si>
  <si>
    <t xml:space="preserve">Top center, piece of a leaf</t>
  </si>
  <si>
    <t xml:space="preserve">Top-right border, visible vertical leaf; confidence unreadable</t>
  </si>
  <si>
    <t xml:space="preserve">val_batch0 / R4 / I2</t>
  </si>
  <si>
    <t xml:space="preserve">Bottom right, seedling on the ground</t>
  </si>
  <si>
    <t xml:space="preserve">val_batch0 / R4 / I3</t>
  </si>
  <si>
    <t xml:space="preserve">Top right, visible unlabeled stem</t>
  </si>
  <si>
    <t xml:space="preserve">val_batch0 / R4 / I4</t>
  </si>
  <si>
    <t xml:space="preserve">Horizontal leaf on the left, mid-ground</t>
  </si>
  <si>
    <t xml:space="preserve">Leaf in the center, mid-ground</t>
  </si>
  <si>
    <t xml:space="preserve">Bottom left, small leaf near the ground</t>
  </si>
  <si>
    <t xml:space="preserve">Thin</t>
  </si>
  <si>
    <t xml:space="preserve">Tall narrow leaf on the right, backlit</t>
  </si>
  <si>
    <t xml:space="preserve">Thin stem on the right</t>
  </si>
  <si>
    <t xml:space="preserve">val_batch0 / R1 / I3</t>
  </si>
  <si>
    <t xml:space="preserve">Top-center leaf</t>
  </si>
  <si>
    <t xml:space="preserve">Central leaf</t>
  </si>
  <si>
    <t xml:space="preserve">Lower-left leaf</t>
  </si>
  <si>
    <t xml:space="preserve">Small</t>
  </si>
  <si>
    <t xml:space="preserve">Small stem, bottom center (1)</t>
  </si>
  <si>
    <t xml:space="preserve">Small stem, bottom center (2)</t>
  </si>
  <si>
    <t xml:space="preserve">Second stem, right of the main one</t>
  </si>
  <si>
    <t xml:space="preserve">Right stem (1)</t>
  </si>
  <si>
    <t xml:space="preserve">Right stem (2)</t>
  </si>
  <si>
    <t xml:space="preserve">Right stem (3)</t>
  </si>
  <si>
    <t xml:space="preserve">Right stem (4)</t>
  </si>
  <si>
    <t xml:space="preserve">Bottom-left stem</t>
  </si>
  <si>
    <t xml:space="preserve">val_batch0 / R2 / I3</t>
  </si>
  <si>
    <t xml:space="preserve">Very crowded image; approximate count (1)</t>
  </si>
  <si>
    <t xml:space="preserve">Very crowded image; approximate count (2)</t>
  </si>
  <si>
    <t xml:space="preserve">Very crowded image; approximate count (3)</t>
  </si>
  <si>
    <t xml:space="preserve">Very crowded image; approximate count (4)</t>
  </si>
  <si>
    <t xml:space="preserve">Stem on the right, next to the tall stem</t>
  </si>
  <si>
    <t xml:space="preserve">Small stem at the top</t>
  </si>
  <si>
    <t xml:space="preserve">Central stem; the model predicted it as a leaf</t>
  </si>
  <si>
    <t xml:space="preserve">val_batch0 / R3 / I2</t>
  </si>
  <si>
    <t xml:space="preserve">Small stem on the left</t>
  </si>
  <si>
    <t xml:space="preserve">Center-right stem</t>
  </si>
  <si>
    <t xml:space="preserve">Left-center stem</t>
  </si>
  <si>
    <t xml:space="preserve">Stem on the right border</t>
  </si>
  <si>
    <t xml:space="preserve">Small stem on the right</t>
  </si>
  <si>
    <t xml:space="preserve">Top leaf merged with another into a single prediction</t>
  </si>
  <si>
    <t xml:space="preserve">Label audit summary</t>
  </si>
  <si>
    <t xml:space="preserve">Images reviewed</t>
  </si>
  <si>
    <t xml:space="preserve">False positives by verdict</t>
  </si>
  <si>
    <t xml:space="preserve">Total</t>
  </si>
  <si>
    <t xml:space="preserve">Share</t>
  </si>
  <si>
    <t xml:space="preserve">Total false positives</t>
  </si>
  <si>
    <t xml:space="preserve">False negatives by likely cause</t>
  </si>
  <si>
    <t xml:space="preserve">Blurry</t>
  </si>
  <si>
    <t xml:space="preserve">Total false negatives</t>
  </si>
  <si>
    <t xml:space="preserve">Summary sentence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</si>
</sst>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26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15" hidden="false" customHeight="false" outlineLevel="0" collapsed="false">
      <c r="A14" s="3" t="s">
        <v>16</v>
      </c>
      <c r="B14" s="4" t="s">
        <v>17</v>
      </c>
    </row>
    <row r="15" customFormat="false" ht="15" hidden="false" customHeight="false" outlineLevel="0" collapsed="false">
      <c r="A15" s="3" t="s">
        <v>18</v>
      </c>
      <c r="B15" s="4" t="s">
        <v>19</v>
      </c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2" t="s">
        <v>22</v>
      </c>
    </row>
    <row r="19" customFormat="false" ht="15" hidden="false" customHeight="false" outlineLevel="0" collapsed="false">
      <c r="A19" s="3" t="s">
        <v>23</v>
      </c>
      <c r="B19" s="4" t="s">
        <v>24</v>
      </c>
    </row>
    <row r="20" customFormat="false" ht="15" hidden="false" customHeight="false" outlineLevel="0" collapsed="false">
      <c r="A20" s="3" t="s">
        <v>25</v>
      </c>
      <c r="B20" s="4" t="s">
        <v>26</v>
      </c>
    </row>
    <row r="21" customFormat="false" ht="15" hidden="false" customHeight="false" outlineLevel="0" collapsed="false">
      <c r="A21" s="3" t="s">
        <v>27</v>
      </c>
      <c r="B21" s="4" t="s">
        <v>28</v>
      </c>
    </row>
    <row r="22" customFormat="false" ht="26.85" hidden="false" customHeight="false" outlineLevel="0" collapsed="false">
      <c r="A22" s="3" t="s">
        <v>29</v>
      </c>
      <c r="B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5" t="s">
        <v>31</v>
      </c>
      <c r="B1" s="5" t="s">
        <v>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customFormat="false" ht="15" hidden="false" customHeight="false" outlineLevel="0" collapsed="false">
      <c r="A2" s="6" t="s">
        <v>37</v>
      </c>
      <c r="B2" s="6" t="s">
        <v>2</v>
      </c>
      <c r="C2" s="6" t="s">
        <v>38</v>
      </c>
      <c r="D2" s="7" t="n">
        <v>0.7</v>
      </c>
      <c r="E2" s="6" t="s">
        <v>7</v>
      </c>
      <c r="F2" s="6"/>
      <c r="G2" s="6" t="s">
        <v>39</v>
      </c>
    </row>
    <row r="3" customFormat="false" ht="15" hidden="false" customHeight="false" outlineLevel="0" collapsed="false">
      <c r="A3" s="6" t="s">
        <v>37</v>
      </c>
      <c r="B3" s="6" t="s">
        <v>2</v>
      </c>
      <c r="C3" s="6" t="s">
        <v>38</v>
      </c>
      <c r="D3" s="7" t="n">
        <v>0.7</v>
      </c>
      <c r="E3" s="6" t="s">
        <v>7</v>
      </c>
      <c r="F3" s="6"/>
      <c r="G3" s="6" t="s">
        <v>40</v>
      </c>
    </row>
    <row r="4" customFormat="false" ht="15" hidden="false" customHeight="false" outlineLevel="0" collapsed="false">
      <c r="A4" s="6" t="s">
        <v>37</v>
      </c>
      <c r="B4" s="6" t="s">
        <v>2</v>
      </c>
      <c r="C4" s="6" t="s">
        <v>38</v>
      </c>
      <c r="D4" s="7"/>
      <c r="E4" s="6" t="s">
        <v>9</v>
      </c>
      <c r="F4" s="6"/>
      <c r="G4" s="6" t="s">
        <v>41</v>
      </c>
    </row>
    <row r="5" customFormat="false" ht="15" hidden="false" customHeight="false" outlineLevel="0" collapsed="false">
      <c r="A5" s="6" t="s">
        <v>42</v>
      </c>
      <c r="B5" s="6" t="s">
        <v>2</v>
      </c>
      <c r="C5" s="6" t="s">
        <v>38</v>
      </c>
      <c r="D5" s="7" t="n">
        <v>0.3</v>
      </c>
      <c r="E5" s="6" t="s">
        <v>11</v>
      </c>
      <c r="F5" s="6"/>
      <c r="G5" s="6" t="s">
        <v>43</v>
      </c>
    </row>
    <row r="6" customFormat="false" ht="15" hidden="false" customHeight="false" outlineLevel="0" collapsed="false">
      <c r="A6" s="6" t="s">
        <v>42</v>
      </c>
      <c r="B6" s="6" t="s">
        <v>2</v>
      </c>
      <c r="C6" s="6" t="s">
        <v>38</v>
      </c>
      <c r="D6" s="7" t="n">
        <v>0.9</v>
      </c>
      <c r="E6" s="6" t="s">
        <v>9</v>
      </c>
      <c r="F6" s="6"/>
      <c r="G6" s="6" t="s">
        <v>44</v>
      </c>
    </row>
    <row r="7" customFormat="false" ht="15" hidden="false" customHeight="false" outlineLevel="0" collapsed="false">
      <c r="A7" s="6" t="s">
        <v>45</v>
      </c>
      <c r="B7" s="6" t="s">
        <v>2</v>
      </c>
      <c r="C7" s="6" t="s">
        <v>38</v>
      </c>
      <c r="D7" s="7" t="n">
        <v>0.8</v>
      </c>
      <c r="E7" s="6" t="s">
        <v>11</v>
      </c>
      <c r="F7" s="6"/>
      <c r="G7" s="6" t="s">
        <v>46</v>
      </c>
    </row>
    <row r="8" customFormat="false" ht="15" hidden="false" customHeight="false" outlineLevel="0" collapsed="false">
      <c r="A8" s="6" t="s">
        <v>45</v>
      </c>
      <c r="B8" s="6" t="s">
        <v>2</v>
      </c>
      <c r="C8" s="6" t="s">
        <v>38</v>
      </c>
      <c r="D8" s="7" t="n">
        <v>0.4</v>
      </c>
      <c r="E8" s="6" t="s">
        <v>11</v>
      </c>
      <c r="F8" s="6"/>
      <c r="G8" s="6" t="s">
        <v>47</v>
      </c>
    </row>
    <row r="9" customFormat="false" ht="15" hidden="false" customHeight="false" outlineLevel="0" collapsed="false">
      <c r="A9" s="6" t="s">
        <v>45</v>
      </c>
      <c r="B9" s="6" t="s">
        <v>2</v>
      </c>
      <c r="C9" s="6" t="s">
        <v>48</v>
      </c>
      <c r="D9" s="7" t="n">
        <v>0.4</v>
      </c>
      <c r="E9" s="6" t="s">
        <v>9</v>
      </c>
      <c r="F9" s="6"/>
      <c r="G9" s="6" t="s">
        <v>49</v>
      </c>
    </row>
    <row r="10" customFormat="false" ht="15" hidden="false" customHeight="false" outlineLevel="0" collapsed="false">
      <c r="A10" s="6" t="s">
        <v>45</v>
      </c>
      <c r="B10" s="6" t="s">
        <v>2</v>
      </c>
      <c r="C10" s="6" t="s">
        <v>38</v>
      </c>
      <c r="D10" s="7" t="n">
        <v>0.4</v>
      </c>
      <c r="E10" s="6" t="s">
        <v>9</v>
      </c>
      <c r="F10" s="6"/>
      <c r="G10" s="6" t="s">
        <v>50</v>
      </c>
    </row>
    <row r="11" customFormat="false" ht="15" hidden="false" customHeight="false" outlineLevel="0" collapsed="false">
      <c r="A11" s="6" t="s">
        <v>51</v>
      </c>
      <c r="B11" s="6" t="s">
        <v>2</v>
      </c>
      <c r="C11" s="6" t="s">
        <v>38</v>
      </c>
      <c r="D11" s="7" t="n">
        <v>0.7</v>
      </c>
      <c r="E11" s="6" t="s">
        <v>7</v>
      </c>
      <c r="F11" s="6"/>
      <c r="G11" s="6" t="s">
        <v>52</v>
      </c>
    </row>
    <row r="12" customFormat="false" ht="15" hidden="false" customHeight="false" outlineLevel="0" collapsed="false">
      <c r="A12" s="6" t="s">
        <v>51</v>
      </c>
      <c r="B12" s="6" t="s">
        <v>2</v>
      </c>
      <c r="C12" s="6" t="s">
        <v>38</v>
      </c>
      <c r="D12" s="7" t="n">
        <v>0.3</v>
      </c>
      <c r="E12" s="6" t="s">
        <v>9</v>
      </c>
      <c r="F12" s="6"/>
      <c r="G12" s="6" t="s">
        <v>53</v>
      </c>
    </row>
    <row r="13" customFormat="false" ht="15" hidden="false" customHeight="false" outlineLevel="0" collapsed="false">
      <c r="A13" s="6" t="s">
        <v>51</v>
      </c>
      <c r="B13" s="6" t="s">
        <v>2</v>
      </c>
      <c r="C13" s="6" t="s">
        <v>48</v>
      </c>
      <c r="D13" s="7" t="n">
        <v>0.3</v>
      </c>
      <c r="E13" s="6" t="s">
        <v>11</v>
      </c>
      <c r="F13" s="6"/>
      <c r="G13" s="6" t="s">
        <v>54</v>
      </c>
    </row>
    <row r="14" customFormat="false" ht="15" hidden="false" customHeight="false" outlineLevel="0" collapsed="false">
      <c r="A14" s="6" t="s">
        <v>55</v>
      </c>
      <c r="B14" s="6" t="s">
        <v>2</v>
      </c>
      <c r="C14" s="6" t="s">
        <v>38</v>
      </c>
      <c r="D14" s="7" t="n">
        <v>0.7</v>
      </c>
      <c r="E14" s="6" t="s">
        <v>11</v>
      </c>
      <c r="F14" s="6"/>
      <c r="G14" s="6" t="s">
        <v>56</v>
      </c>
    </row>
    <row r="15" customFormat="false" ht="15" hidden="false" customHeight="false" outlineLevel="0" collapsed="false">
      <c r="A15" s="6" t="s">
        <v>55</v>
      </c>
      <c r="B15" s="6" t="s">
        <v>2</v>
      </c>
      <c r="C15" s="6" t="s">
        <v>38</v>
      </c>
      <c r="D15" s="7" t="n">
        <v>0.7</v>
      </c>
      <c r="E15" s="6" t="s">
        <v>11</v>
      </c>
      <c r="F15" s="6"/>
      <c r="G15" s="6" t="s">
        <v>57</v>
      </c>
    </row>
    <row r="16" customFormat="false" ht="15" hidden="false" customHeight="false" outlineLevel="0" collapsed="false">
      <c r="A16" s="6" t="s">
        <v>55</v>
      </c>
      <c r="B16" s="6" t="s">
        <v>2</v>
      </c>
      <c r="C16" s="6" t="s">
        <v>48</v>
      </c>
      <c r="D16" s="7" t="n">
        <v>0.7</v>
      </c>
      <c r="E16" s="6" t="s">
        <v>11</v>
      </c>
      <c r="F16" s="6"/>
      <c r="G16" s="6" t="s">
        <v>58</v>
      </c>
    </row>
    <row r="17" customFormat="false" ht="15" hidden="false" customHeight="false" outlineLevel="0" collapsed="false">
      <c r="A17" s="6" t="s">
        <v>55</v>
      </c>
      <c r="B17" s="6" t="s">
        <v>2</v>
      </c>
      <c r="C17" s="6" t="s">
        <v>48</v>
      </c>
      <c r="D17" s="7" t="n">
        <v>0.4</v>
      </c>
      <c r="E17" s="6" t="s">
        <v>9</v>
      </c>
      <c r="F17" s="6"/>
      <c r="G17" s="6" t="s">
        <v>59</v>
      </c>
    </row>
    <row r="18" customFormat="false" ht="15" hidden="false" customHeight="false" outlineLevel="0" collapsed="false">
      <c r="A18" s="6" t="s">
        <v>60</v>
      </c>
      <c r="B18" s="6" t="s">
        <v>2</v>
      </c>
      <c r="C18" s="6" t="s">
        <v>38</v>
      </c>
      <c r="D18" s="7" t="n">
        <v>0.6</v>
      </c>
      <c r="E18" s="6" t="s">
        <v>7</v>
      </c>
      <c r="F18" s="6"/>
      <c r="G18" s="6" t="s">
        <v>61</v>
      </c>
    </row>
    <row r="19" customFormat="false" ht="15" hidden="false" customHeight="false" outlineLevel="0" collapsed="false">
      <c r="A19" s="6" t="s">
        <v>60</v>
      </c>
      <c r="B19" s="6" t="s">
        <v>2</v>
      </c>
      <c r="C19" s="6" t="s">
        <v>38</v>
      </c>
      <c r="D19" s="7" t="n">
        <v>0.3</v>
      </c>
      <c r="E19" s="6" t="s">
        <v>7</v>
      </c>
      <c r="F19" s="6"/>
      <c r="G19" s="6" t="s">
        <v>62</v>
      </c>
    </row>
    <row r="20" customFormat="false" ht="15" hidden="false" customHeight="false" outlineLevel="0" collapsed="false">
      <c r="A20" s="6" t="s">
        <v>60</v>
      </c>
      <c r="B20" s="6" t="s">
        <v>2</v>
      </c>
      <c r="C20" s="6" t="s">
        <v>38</v>
      </c>
      <c r="D20" s="7" t="n">
        <v>0.4</v>
      </c>
      <c r="E20" s="6" t="s">
        <v>9</v>
      </c>
      <c r="F20" s="6"/>
      <c r="G20" s="6" t="s">
        <v>63</v>
      </c>
    </row>
    <row r="21" customFormat="false" ht="15" hidden="false" customHeight="false" outlineLevel="0" collapsed="false">
      <c r="A21" s="6" t="s">
        <v>60</v>
      </c>
      <c r="B21" s="6" t="s">
        <v>2</v>
      </c>
      <c r="C21" s="6" t="s">
        <v>38</v>
      </c>
      <c r="D21" s="7" t="n">
        <v>0.8</v>
      </c>
      <c r="E21" s="6" t="s">
        <v>9</v>
      </c>
      <c r="F21" s="6"/>
      <c r="G21" s="6" t="s">
        <v>64</v>
      </c>
    </row>
    <row r="22" customFormat="false" ht="15" hidden="false" customHeight="false" outlineLevel="0" collapsed="false">
      <c r="A22" s="6" t="s">
        <v>60</v>
      </c>
      <c r="B22" s="6" t="s">
        <v>2</v>
      </c>
      <c r="C22" s="6" t="s">
        <v>38</v>
      </c>
      <c r="D22" s="7" t="n">
        <v>0.6</v>
      </c>
      <c r="E22" s="6" t="s">
        <v>9</v>
      </c>
      <c r="F22" s="6"/>
      <c r="G22" s="6" t="s">
        <v>64</v>
      </c>
    </row>
    <row r="23" customFormat="false" ht="15" hidden="false" customHeight="false" outlineLevel="0" collapsed="false">
      <c r="A23" s="6" t="s">
        <v>65</v>
      </c>
      <c r="B23" s="6" t="s">
        <v>2</v>
      </c>
      <c r="C23" s="6" t="s">
        <v>38</v>
      </c>
      <c r="D23" s="7" t="n">
        <v>0.7</v>
      </c>
      <c r="E23" s="6" t="s">
        <v>9</v>
      </c>
      <c r="F23" s="6"/>
      <c r="G23" s="6" t="s">
        <v>66</v>
      </c>
    </row>
    <row r="24" customFormat="false" ht="15" hidden="false" customHeight="false" outlineLevel="0" collapsed="false">
      <c r="A24" s="6" t="s">
        <v>65</v>
      </c>
      <c r="B24" s="6" t="s">
        <v>2</v>
      </c>
      <c r="C24" s="6" t="s">
        <v>38</v>
      </c>
      <c r="D24" s="7" t="n">
        <v>0.3</v>
      </c>
      <c r="E24" s="6" t="s">
        <v>11</v>
      </c>
      <c r="F24" s="6"/>
      <c r="G24" s="6" t="s">
        <v>67</v>
      </c>
    </row>
    <row r="25" customFormat="false" ht="15" hidden="false" customHeight="false" outlineLevel="0" collapsed="false">
      <c r="A25" s="6" t="s">
        <v>65</v>
      </c>
      <c r="B25" s="6" t="s">
        <v>2</v>
      </c>
      <c r="C25" s="6" t="s">
        <v>38</v>
      </c>
      <c r="D25" s="7"/>
      <c r="E25" s="6" t="s">
        <v>11</v>
      </c>
      <c r="F25" s="6"/>
      <c r="G25" s="6" t="s">
        <v>68</v>
      </c>
    </row>
    <row r="26" customFormat="false" ht="15" hidden="false" customHeight="false" outlineLevel="0" collapsed="false">
      <c r="A26" s="6" t="s">
        <v>65</v>
      </c>
      <c r="B26" s="6" t="s">
        <v>2</v>
      </c>
      <c r="C26" s="6" t="s">
        <v>38</v>
      </c>
      <c r="D26" s="7" t="n">
        <v>0.4</v>
      </c>
      <c r="E26" s="6" t="s">
        <v>11</v>
      </c>
      <c r="F26" s="6"/>
      <c r="G26" s="6" t="s">
        <v>69</v>
      </c>
    </row>
    <row r="27" customFormat="false" ht="15" hidden="false" customHeight="false" outlineLevel="0" collapsed="false">
      <c r="A27" s="6" t="s">
        <v>70</v>
      </c>
      <c r="B27" s="6" t="s">
        <v>2</v>
      </c>
      <c r="C27" s="6" t="s">
        <v>38</v>
      </c>
      <c r="D27" s="7" t="n">
        <v>0.4</v>
      </c>
      <c r="E27" s="6" t="s">
        <v>11</v>
      </c>
      <c r="F27" s="6"/>
      <c r="G27" s="6" t="s">
        <v>71</v>
      </c>
    </row>
    <row r="28" customFormat="false" ht="15" hidden="false" customHeight="false" outlineLevel="0" collapsed="false">
      <c r="A28" s="6" t="s">
        <v>70</v>
      </c>
      <c r="B28" s="6" t="s">
        <v>2</v>
      </c>
      <c r="C28" s="6" t="s">
        <v>38</v>
      </c>
      <c r="D28" s="7" t="n">
        <v>0.8</v>
      </c>
      <c r="E28" s="6" t="s">
        <v>11</v>
      </c>
      <c r="F28" s="6"/>
      <c r="G28" s="6" t="s">
        <v>72</v>
      </c>
    </row>
    <row r="29" customFormat="false" ht="15" hidden="false" customHeight="false" outlineLevel="0" collapsed="false">
      <c r="A29" s="6" t="s">
        <v>70</v>
      </c>
      <c r="B29" s="6" t="s">
        <v>2</v>
      </c>
      <c r="C29" s="6" t="s">
        <v>48</v>
      </c>
      <c r="D29" s="7" t="n">
        <v>0.6</v>
      </c>
      <c r="E29" s="6" t="s">
        <v>9</v>
      </c>
      <c r="F29" s="6"/>
      <c r="G29" s="6" t="s">
        <v>73</v>
      </c>
    </row>
    <row r="30" customFormat="false" ht="15" hidden="false" customHeight="false" outlineLevel="0" collapsed="false">
      <c r="A30" s="6" t="s">
        <v>74</v>
      </c>
      <c r="B30" s="6" t="s">
        <v>2</v>
      </c>
      <c r="C30" s="6" t="s">
        <v>38</v>
      </c>
      <c r="D30" s="7" t="n">
        <v>0.4</v>
      </c>
      <c r="E30" s="6" t="s">
        <v>9</v>
      </c>
      <c r="F30" s="6"/>
      <c r="G30" s="6" t="s">
        <v>75</v>
      </c>
    </row>
    <row r="31" customFormat="false" ht="15" hidden="false" customHeight="false" outlineLevel="0" collapsed="false">
      <c r="A31" s="6" t="s">
        <v>74</v>
      </c>
      <c r="B31" s="6" t="s">
        <v>2</v>
      </c>
      <c r="C31" s="6" t="s">
        <v>38</v>
      </c>
      <c r="D31" s="7"/>
      <c r="E31" s="6" t="s">
        <v>7</v>
      </c>
      <c r="F31" s="6"/>
      <c r="G31" s="6" t="s">
        <v>76</v>
      </c>
    </row>
    <row r="32" customFormat="false" ht="15" hidden="false" customHeight="false" outlineLevel="0" collapsed="false">
      <c r="A32" s="6" t="s">
        <v>74</v>
      </c>
      <c r="B32" s="6" t="s">
        <v>2</v>
      </c>
      <c r="C32" s="6" t="s">
        <v>48</v>
      </c>
      <c r="D32" s="7" t="n">
        <v>0.4</v>
      </c>
      <c r="E32" s="6" t="s">
        <v>9</v>
      </c>
      <c r="F32" s="6"/>
      <c r="G32" s="6" t="s">
        <v>59</v>
      </c>
    </row>
    <row r="33" customFormat="false" ht="15" hidden="false" customHeight="false" outlineLevel="0" collapsed="false">
      <c r="A33" s="6" t="s">
        <v>77</v>
      </c>
      <c r="B33" s="6" t="s">
        <v>2</v>
      </c>
      <c r="C33" s="6" t="s">
        <v>38</v>
      </c>
      <c r="D33" s="7" t="n">
        <v>0.3</v>
      </c>
      <c r="E33" s="6" t="s">
        <v>9</v>
      </c>
      <c r="F33" s="6"/>
      <c r="G33" s="6" t="s">
        <v>78</v>
      </c>
    </row>
    <row r="34" customFormat="false" ht="15" hidden="false" customHeight="false" outlineLevel="0" collapsed="false">
      <c r="A34" s="6" t="s">
        <v>79</v>
      </c>
      <c r="B34" s="6" t="s">
        <v>2</v>
      </c>
      <c r="C34" s="6" t="s">
        <v>38</v>
      </c>
      <c r="D34" s="7"/>
      <c r="E34" s="6" t="s">
        <v>11</v>
      </c>
      <c r="F34" s="6"/>
      <c r="G34" s="6" t="s">
        <v>71</v>
      </c>
    </row>
    <row r="35" customFormat="false" ht="15" hidden="false" customHeight="false" outlineLevel="0" collapsed="false">
      <c r="A35" s="6" t="s">
        <v>79</v>
      </c>
      <c r="B35" s="6" t="s">
        <v>2</v>
      </c>
      <c r="C35" s="6" t="s">
        <v>38</v>
      </c>
      <c r="D35" s="7"/>
      <c r="E35" s="6" t="s">
        <v>11</v>
      </c>
      <c r="F35" s="6"/>
      <c r="G35" s="6" t="s">
        <v>72</v>
      </c>
    </row>
    <row r="36" customFormat="false" ht="15" hidden="false" customHeight="false" outlineLevel="0" collapsed="false">
      <c r="A36" s="6" t="s">
        <v>79</v>
      </c>
      <c r="B36" s="6" t="s">
        <v>2</v>
      </c>
      <c r="C36" s="6" t="s">
        <v>48</v>
      </c>
      <c r="D36" s="7" t="n">
        <v>0.6</v>
      </c>
      <c r="E36" s="6" t="s">
        <v>9</v>
      </c>
      <c r="F36" s="6"/>
      <c r="G36" s="6" t="s">
        <v>80</v>
      </c>
    </row>
    <row r="37" customFormat="false" ht="15" hidden="false" customHeight="false" outlineLevel="0" collapsed="false">
      <c r="A37" s="6" t="s">
        <v>81</v>
      </c>
      <c r="B37" s="6" t="s">
        <v>2</v>
      </c>
      <c r="C37" s="6" t="s">
        <v>38</v>
      </c>
      <c r="D37" s="7" t="n">
        <v>0.3</v>
      </c>
      <c r="E37" s="6" t="s">
        <v>7</v>
      </c>
      <c r="F37" s="6"/>
      <c r="G37" s="6" t="s">
        <v>82</v>
      </c>
    </row>
    <row r="38" customFormat="false" ht="15" hidden="false" customHeight="false" outlineLevel="0" collapsed="false">
      <c r="A38" s="6" t="s">
        <v>81</v>
      </c>
      <c r="B38" s="6" t="s">
        <v>2</v>
      </c>
      <c r="C38" s="6" t="s">
        <v>38</v>
      </c>
      <c r="D38" s="7" t="n">
        <v>0.6</v>
      </c>
      <c r="E38" s="6" t="s">
        <v>7</v>
      </c>
      <c r="F38" s="6"/>
      <c r="G38" s="6" t="s">
        <v>83</v>
      </c>
    </row>
    <row r="39" customFormat="false" ht="15" hidden="false" customHeight="false" outlineLevel="0" collapsed="false">
      <c r="A39" s="6" t="s">
        <v>81</v>
      </c>
      <c r="B39" s="6" t="s">
        <v>2</v>
      </c>
      <c r="C39" s="6" t="s">
        <v>38</v>
      </c>
      <c r="D39" s="7" t="n">
        <v>0.3</v>
      </c>
      <c r="E39" s="6" t="s">
        <v>9</v>
      </c>
      <c r="F39" s="6"/>
      <c r="G39" s="6" t="s">
        <v>84</v>
      </c>
    </row>
    <row r="40" customFormat="false" ht="15" hidden="false" customHeight="false" outlineLevel="0" collapsed="false">
      <c r="A40" s="6" t="s">
        <v>42</v>
      </c>
      <c r="B40" s="6" t="s">
        <v>4</v>
      </c>
      <c r="C40" s="6" t="s">
        <v>38</v>
      </c>
      <c r="D40" s="7"/>
      <c r="E40" s="6" t="s">
        <v>4</v>
      </c>
      <c r="F40" s="6" t="s">
        <v>85</v>
      </c>
      <c r="G40" s="6" t="s">
        <v>86</v>
      </c>
    </row>
    <row r="41" customFormat="false" ht="15" hidden="false" customHeight="false" outlineLevel="0" collapsed="false">
      <c r="A41" s="6" t="s">
        <v>42</v>
      </c>
      <c r="B41" s="6" t="s">
        <v>4</v>
      </c>
      <c r="C41" s="6" t="s">
        <v>48</v>
      </c>
      <c r="D41" s="7"/>
      <c r="E41" s="6" t="s">
        <v>4</v>
      </c>
      <c r="F41" s="6" t="s">
        <v>85</v>
      </c>
      <c r="G41" s="6" t="s">
        <v>87</v>
      </c>
    </row>
    <row r="42" customFormat="false" ht="15" hidden="false" customHeight="false" outlineLevel="0" collapsed="false">
      <c r="A42" s="6" t="s">
        <v>88</v>
      </c>
      <c r="B42" s="6" t="s">
        <v>4</v>
      </c>
      <c r="C42" s="6" t="s">
        <v>38</v>
      </c>
      <c r="D42" s="7"/>
      <c r="E42" s="6" t="s">
        <v>4</v>
      </c>
      <c r="F42" s="6" t="s">
        <v>16</v>
      </c>
      <c r="G42" s="6" t="s">
        <v>89</v>
      </c>
    </row>
    <row r="43" customFormat="false" ht="15" hidden="false" customHeight="false" outlineLevel="0" collapsed="false">
      <c r="A43" s="6" t="s">
        <v>88</v>
      </c>
      <c r="B43" s="6" t="s">
        <v>4</v>
      </c>
      <c r="C43" s="6" t="s">
        <v>38</v>
      </c>
      <c r="D43" s="7"/>
      <c r="E43" s="6" t="s">
        <v>4</v>
      </c>
      <c r="F43" s="6" t="s">
        <v>16</v>
      </c>
      <c r="G43" s="6" t="s">
        <v>90</v>
      </c>
    </row>
    <row r="44" customFormat="false" ht="15" hidden="false" customHeight="false" outlineLevel="0" collapsed="false">
      <c r="A44" s="6" t="s">
        <v>88</v>
      </c>
      <c r="B44" s="6" t="s">
        <v>4</v>
      </c>
      <c r="C44" s="6" t="s">
        <v>38</v>
      </c>
      <c r="D44" s="7"/>
      <c r="E44" s="6" t="s">
        <v>4</v>
      </c>
      <c r="F44" s="6" t="s">
        <v>16</v>
      </c>
      <c r="G44" s="6" t="s">
        <v>91</v>
      </c>
    </row>
    <row r="45" customFormat="false" ht="15" hidden="false" customHeight="false" outlineLevel="0" collapsed="false">
      <c r="A45" s="6" t="s">
        <v>88</v>
      </c>
      <c r="B45" s="6" t="s">
        <v>4</v>
      </c>
      <c r="C45" s="6" t="s">
        <v>48</v>
      </c>
      <c r="D45" s="7"/>
      <c r="E45" s="6" t="s">
        <v>4</v>
      </c>
      <c r="F45" s="6" t="s">
        <v>92</v>
      </c>
      <c r="G45" s="6" t="s">
        <v>93</v>
      </c>
    </row>
    <row r="46" customFormat="false" ht="15" hidden="false" customHeight="false" outlineLevel="0" collapsed="false">
      <c r="A46" s="6" t="s">
        <v>88</v>
      </c>
      <c r="B46" s="6" t="s">
        <v>4</v>
      </c>
      <c r="C46" s="6" t="s">
        <v>48</v>
      </c>
      <c r="D46" s="7"/>
      <c r="E46" s="6" t="s">
        <v>4</v>
      </c>
      <c r="F46" s="6" t="s">
        <v>92</v>
      </c>
      <c r="G46" s="6" t="s">
        <v>94</v>
      </c>
    </row>
    <row r="47" customFormat="false" ht="15" hidden="false" customHeight="false" outlineLevel="0" collapsed="false">
      <c r="A47" s="6" t="s">
        <v>45</v>
      </c>
      <c r="B47" s="6" t="s">
        <v>4</v>
      </c>
      <c r="C47" s="6" t="s">
        <v>48</v>
      </c>
      <c r="D47" s="7"/>
      <c r="E47" s="6" t="s">
        <v>4</v>
      </c>
      <c r="F47" s="6" t="s">
        <v>85</v>
      </c>
      <c r="G47" s="6" t="s">
        <v>95</v>
      </c>
    </row>
    <row r="48" customFormat="false" ht="15" hidden="false" customHeight="false" outlineLevel="0" collapsed="false">
      <c r="A48" s="6" t="s">
        <v>51</v>
      </c>
      <c r="B48" s="6" t="s">
        <v>4</v>
      </c>
      <c r="C48" s="6" t="s">
        <v>48</v>
      </c>
      <c r="D48" s="7"/>
      <c r="E48" s="6" t="s">
        <v>4</v>
      </c>
      <c r="F48" s="6" t="s">
        <v>85</v>
      </c>
      <c r="G48" s="6" t="s">
        <v>96</v>
      </c>
    </row>
    <row r="49" customFormat="false" ht="15" hidden="false" customHeight="false" outlineLevel="0" collapsed="false">
      <c r="A49" s="6" t="s">
        <v>51</v>
      </c>
      <c r="B49" s="6" t="s">
        <v>4</v>
      </c>
      <c r="C49" s="6" t="s">
        <v>48</v>
      </c>
      <c r="D49" s="7"/>
      <c r="E49" s="6" t="s">
        <v>4</v>
      </c>
      <c r="F49" s="6" t="s">
        <v>85</v>
      </c>
      <c r="G49" s="6" t="s">
        <v>97</v>
      </c>
    </row>
    <row r="50" customFormat="false" ht="15" hidden="false" customHeight="false" outlineLevel="0" collapsed="false">
      <c r="A50" s="6" t="s">
        <v>51</v>
      </c>
      <c r="B50" s="6" t="s">
        <v>4</v>
      </c>
      <c r="C50" s="6" t="s">
        <v>48</v>
      </c>
      <c r="D50" s="7"/>
      <c r="E50" s="6" t="s">
        <v>4</v>
      </c>
      <c r="F50" s="6" t="s">
        <v>85</v>
      </c>
      <c r="G50" s="6" t="s">
        <v>98</v>
      </c>
    </row>
    <row r="51" customFormat="false" ht="15" hidden="false" customHeight="false" outlineLevel="0" collapsed="false">
      <c r="A51" s="6" t="s">
        <v>51</v>
      </c>
      <c r="B51" s="6" t="s">
        <v>4</v>
      </c>
      <c r="C51" s="6" t="s">
        <v>48</v>
      </c>
      <c r="D51" s="7"/>
      <c r="E51" s="6" t="s">
        <v>4</v>
      </c>
      <c r="F51" s="6" t="s">
        <v>85</v>
      </c>
      <c r="G51" s="6" t="s">
        <v>99</v>
      </c>
    </row>
    <row r="52" customFormat="false" ht="15" hidden="false" customHeight="false" outlineLevel="0" collapsed="false">
      <c r="A52" s="6" t="s">
        <v>51</v>
      </c>
      <c r="B52" s="6" t="s">
        <v>4</v>
      </c>
      <c r="C52" s="6" t="s">
        <v>48</v>
      </c>
      <c r="D52" s="7"/>
      <c r="E52" s="6" t="s">
        <v>4</v>
      </c>
      <c r="F52" s="6" t="s">
        <v>85</v>
      </c>
      <c r="G52" s="6" t="s">
        <v>100</v>
      </c>
    </row>
    <row r="53" customFormat="false" ht="15" hidden="false" customHeight="false" outlineLevel="0" collapsed="false">
      <c r="A53" s="6" t="s">
        <v>55</v>
      </c>
      <c r="B53" s="6" t="s">
        <v>4</v>
      </c>
      <c r="C53" s="6" t="s">
        <v>48</v>
      </c>
      <c r="D53" s="7"/>
      <c r="E53" s="6" t="s">
        <v>4</v>
      </c>
      <c r="F53" s="6" t="s">
        <v>85</v>
      </c>
      <c r="G53" s="6" t="s">
        <v>100</v>
      </c>
    </row>
    <row r="54" customFormat="false" ht="15" hidden="false" customHeight="false" outlineLevel="0" collapsed="false">
      <c r="A54" s="6" t="s">
        <v>101</v>
      </c>
      <c r="B54" s="6" t="s">
        <v>4</v>
      </c>
      <c r="C54" s="6" t="s">
        <v>48</v>
      </c>
      <c r="D54" s="7"/>
      <c r="E54" s="6" t="s">
        <v>4</v>
      </c>
      <c r="F54" s="6" t="s">
        <v>16</v>
      </c>
      <c r="G54" s="6" t="s">
        <v>102</v>
      </c>
    </row>
    <row r="55" customFormat="false" ht="15" hidden="false" customHeight="false" outlineLevel="0" collapsed="false">
      <c r="A55" s="6" t="s">
        <v>101</v>
      </c>
      <c r="B55" s="6" t="s">
        <v>4</v>
      </c>
      <c r="C55" s="6" t="s">
        <v>48</v>
      </c>
      <c r="D55" s="7"/>
      <c r="E55" s="6" t="s">
        <v>4</v>
      </c>
      <c r="F55" s="6" t="s">
        <v>16</v>
      </c>
      <c r="G55" s="6" t="s">
        <v>103</v>
      </c>
    </row>
    <row r="56" customFormat="false" ht="15" hidden="false" customHeight="false" outlineLevel="0" collapsed="false">
      <c r="A56" s="6" t="s">
        <v>101</v>
      </c>
      <c r="B56" s="6" t="s">
        <v>4</v>
      </c>
      <c r="C56" s="6" t="s">
        <v>48</v>
      </c>
      <c r="D56" s="7"/>
      <c r="E56" s="6" t="s">
        <v>4</v>
      </c>
      <c r="F56" s="6" t="s">
        <v>16</v>
      </c>
      <c r="G56" s="6" t="s">
        <v>104</v>
      </c>
    </row>
    <row r="57" customFormat="false" ht="15" hidden="false" customHeight="false" outlineLevel="0" collapsed="false">
      <c r="A57" s="6" t="s">
        <v>101</v>
      </c>
      <c r="B57" s="6" t="s">
        <v>4</v>
      </c>
      <c r="C57" s="6" t="s">
        <v>48</v>
      </c>
      <c r="D57" s="7"/>
      <c r="E57" s="6" t="s">
        <v>4</v>
      </c>
      <c r="F57" s="6" t="s">
        <v>16</v>
      </c>
      <c r="G57" s="6" t="s">
        <v>105</v>
      </c>
    </row>
    <row r="58" customFormat="false" ht="15" hidden="false" customHeight="false" outlineLevel="0" collapsed="false">
      <c r="A58" s="6" t="s">
        <v>60</v>
      </c>
      <c r="B58" s="6" t="s">
        <v>4</v>
      </c>
      <c r="C58" s="6" t="s">
        <v>48</v>
      </c>
      <c r="D58" s="7"/>
      <c r="E58" s="6" t="s">
        <v>4</v>
      </c>
      <c r="F58" s="6" t="s">
        <v>85</v>
      </c>
      <c r="G58" s="6" t="s">
        <v>106</v>
      </c>
    </row>
    <row r="59" customFormat="false" ht="15" hidden="false" customHeight="false" outlineLevel="0" collapsed="false">
      <c r="A59" s="6" t="s">
        <v>60</v>
      </c>
      <c r="B59" s="6" t="s">
        <v>4</v>
      </c>
      <c r="C59" s="6" t="s">
        <v>48</v>
      </c>
      <c r="D59" s="7"/>
      <c r="E59" s="6" t="s">
        <v>4</v>
      </c>
      <c r="F59" s="6" t="s">
        <v>92</v>
      </c>
      <c r="G59" s="6" t="s">
        <v>100</v>
      </c>
    </row>
    <row r="60" customFormat="false" ht="15" hidden="false" customHeight="false" outlineLevel="0" collapsed="false">
      <c r="A60" s="6" t="s">
        <v>65</v>
      </c>
      <c r="B60" s="6" t="s">
        <v>4</v>
      </c>
      <c r="C60" s="6" t="s">
        <v>48</v>
      </c>
      <c r="D60" s="7"/>
      <c r="E60" s="6" t="s">
        <v>4</v>
      </c>
      <c r="F60" s="6" t="s">
        <v>92</v>
      </c>
      <c r="G60" s="6" t="s">
        <v>107</v>
      </c>
    </row>
    <row r="61" customFormat="false" ht="15" hidden="false" customHeight="false" outlineLevel="0" collapsed="false">
      <c r="A61" s="6" t="s">
        <v>65</v>
      </c>
      <c r="B61" s="6" t="s">
        <v>4</v>
      </c>
      <c r="C61" s="6" t="s">
        <v>48</v>
      </c>
      <c r="D61" s="7"/>
      <c r="E61" s="6" t="s">
        <v>4</v>
      </c>
      <c r="F61" s="6" t="s">
        <v>20</v>
      </c>
      <c r="G61" s="6" t="s">
        <v>108</v>
      </c>
    </row>
    <row r="62" customFormat="false" ht="15" hidden="false" customHeight="false" outlineLevel="0" collapsed="false">
      <c r="A62" s="6" t="s">
        <v>109</v>
      </c>
      <c r="B62" s="6" t="s">
        <v>4</v>
      </c>
      <c r="C62" s="6" t="s">
        <v>48</v>
      </c>
      <c r="D62" s="7"/>
      <c r="E62" s="6" t="s">
        <v>4</v>
      </c>
      <c r="F62" s="6" t="s">
        <v>92</v>
      </c>
      <c r="G62" s="6" t="s">
        <v>110</v>
      </c>
    </row>
    <row r="63" customFormat="false" ht="15" hidden="false" customHeight="false" outlineLevel="0" collapsed="false">
      <c r="A63" s="6" t="s">
        <v>70</v>
      </c>
      <c r="B63" s="6" t="s">
        <v>4</v>
      </c>
      <c r="C63" s="6" t="s">
        <v>48</v>
      </c>
      <c r="D63" s="7"/>
      <c r="E63" s="6" t="s">
        <v>4</v>
      </c>
      <c r="F63" s="6" t="s">
        <v>85</v>
      </c>
      <c r="G63" s="6" t="s">
        <v>111</v>
      </c>
    </row>
    <row r="64" customFormat="false" ht="15" hidden="false" customHeight="false" outlineLevel="0" collapsed="false">
      <c r="A64" s="6" t="s">
        <v>79</v>
      </c>
      <c r="B64" s="6" t="s">
        <v>4</v>
      </c>
      <c r="C64" s="6" t="s">
        <v>48</v>
      </c>
      <c r="D64" s="7"/>
      <c r="E64" s="6" t="s">
        <v>4</v>
      </c>
      <c r="F64" s="6" t="s">
        <v>16</v>
      </c>
      <c r="G64" s="6" t="s">
        <v>112</v>
      </c>
    </row>
    <row r="65" customFormat="false" ht="15" hidden="false" customHeight="false" outlineLevel="0" collapsed="false">
      <c r="A65" s="6" t="s">
        <v>81</v>
      </c>
      <c r="B65" s="6" t="s">
        <v>4</v>
      </c>
      <c r="C65" s="6" t="s">
        <v>48</v>
      </c>
      <c r="D65" s="7"/>
      <c r="E65" s="6" t="s">
        <v>4</v>
      </c>
      <c r="F65" s="6" t="s">
        <v>18</v>
      </c>
      <c r="G65" s="6" t="s">
        <v>113</v>
      </c>
    </row>
    <row r="66" customFormat="false" ht="15" hidden="false" customHeight="false" outlineLevel="0" collapsed="false">
      <c r="A66" s="6" t="s">
        <v>81</v>
      </c>
      <c r="B66" s="6" t="s">
        <v>4</v>
      </c>
      <c r="C66" s="6" t="s">
        <v>48</v>
      </c>
      <c r="D66" s="7"/>
      <c r="E66" s="6" t="s">
        <v>4</v>
      </c>
      <c r="F66" s="6" t="s">
        <v>92</v>
      </c>
      <c r="G66" s="6" t="s">
        <v>114</v>
      </c>
    </row>
    <row r="67" customFormat="false" ht="15" hidden="false" customHeight="false" outlineLevel="0" collapsed="false">
      <c r="A67" s="6" t="s">
        <v>81</v>
      </c>
      <c r="B67" s="6" t="s">
        <v>4</v>
      </c>
      <c r="C67" s="6" t="s">
        <v>38</v>
      </c>
      <c r="D67" s="7"/>
      <c r="E67" s="6" t="s">
        <v>4</v>
      </c>
      <c r="F67" s="6" t="s">
        <v>16</v>
      </c>
      <c r="G67" s="6" t="s">
        <v>115</v>
      </c>
    </row>
    <row r="68" customFormat="false" ht="15" hidden="false" customHeight="false" outlineLevel="0" collapsed="false">
      <c r="A68" s="8"/>
      <c r="B68" s="8"/>
      <c r="C68" s="8"/>
      <c r="D68" s="9"/>
      <c r="E68" s="8"/>
      <c r="F68" s="8"/>
      <c r="G68" s="6"/>
    </row>
    <row r="69" customFormat="false" ht="15" hidden="false" customHeight="false" outlineLevel="0" collapsed="false">
      <c r="A69" s="8"/>
      <c r="B69" s="8"/>
      <c r="C69" s="8"/>
      <c r="D69" s="9"/>
      <c r="E69" s="8"/>
      <c r="F69" s="8"/>
      <c r="G69" s="6"/>
    </row>
    <row r="70" customFormat="false" ht="15" hidden="false" customHeight="false" outlineLevel="0" collapsed="false">
      <c r="A70" s="8"/>
      <c r="B70" s="8"/>
      <c r="C70" s="8"/>
      <c r="D70" s="9"/>
      <c r="E70" s="8"/>
      <c r="F70" s="8"/>
      <c r="G70" s="6"/>
    </row>
    <row r="71" customFormat="false" ht="15" hidden="false" customHeight="false" outlineLevel="0" collapsed="false">
      <c r="A71" s="8"/>
      <c r="B71" s="8"/>
      <c r="C71" s="8"/>
      <c r="D71" s="9"/>
      <c r="E71" s="8"/>
      <c r="F71" s="8"/>
      <c r="G71" s="6"/>
    </row>
    <row r="72" customFormat="false" ht="15" hidden="false" customHeight="false" outlineLevel="0" collapsed="false">
      <c r="A72" s="8"/>
      <c r="B72" s="8"/>
      <c r="C72" s="8"/>
      <c r="D72" s="9"/>
      <c r="E72" s="8"/>
      <c r="F72" s="8"/>
      <c r="G72" s="6"/>
    </row>
    <row r="73" customFormat="false" ht="15" hidden="false" customHeight="false" outlineLevel="0" collapsed="false">
      <c r="A73" s="8"/>
      <c r="B73" s="8"/>
      <c r="C73" s="8"/>
      <c r="D73" s="9"/>
      <c r="E73" s="8"/>
      <c r="F73" s="8"/>
      <c r="G73" s="6"/>
    </row>
    <row r="74" customFormat="false" ht="15" hidden="false" customHeight="false" outlineLevel="0" collapsed="false">
      <c r="A74" s="8"/>
      <c r="B74" s="8"/>
      <c r="C74" s="8"/>
      <c r="D74" s="9"/>
      <c r="E74" s="8"/>
      <c r="F74" s="8"/>
      <c r="G74" s="6"/>
    </row>
    <row r="75" customFormat="false" ht="15" hidden="false" customHeight="false" outlineLevel="0" collapsed="false">
      <c r="A75" s="8"/>
      <c r="B75" s="8"/>
      <c r="C75" s="8"/>
      <c r="D75" s="9"/>
      <c r="E75" s="8"/>
      <c r="F75" s="8"/>
      <c r="G75" s="6"/>
    </row>
    <row r="76" customFormat="false" ht="15" hidden="false" customHeight="false" outlineLevel="0" collapsed="false">
      <c r="A76" s="8"/>
      <c r="B76" s="8"/>
      <c r="C76" s="8"/>
      <c r="D76" s="9"/>
      <c r="E76" s="8"/>
      <c r="F76" s="8"/>
      <c r="G76" s="6"/>
    </row>
    <row r="77" customFormat="false" ht="15" hidden="false" customHeight="false" outlineLevel="0" collapsed="false">
      <c r="A77" s="8"/>
      <c r="B77" s="8"/>
      <c r="C77" s="8"/>
      <c r="D77" s="9"/>
      <c r="E77" s="8"/>
      <c r="F77" s="8"/>
      <c r="G77" s="6"/>
    </row>
    <row r="78" customFormat="false" ht="15" hidden="false" customHeight="false" outlineLevel="0" collapsed="false">
      <c r="A78" s="8"/>
      <c r="B78" s="8"/>
      <c r="C78" s="8"/>
      <c r="D78" s="9"/>
      <c r="E78" s="8"/>
      <c r="F78" s="8"/>
      <c r="G78" s="6"/>
    </row>
    <row r="79" customFormat="false" ht="15" hidden="false" customHeight="false" outlineLevel="0" collapsed="false">
      <c r="A79" s="8"/>
      <c r="B79" s="8"/>
      <c r="C79" s="8"/>
      <c r="D79" s="9"/>
      <c r="E79" s="8"/>
      <c r="F79" s="8"/>
      <c r="G79" s="6"/>
    </row>
    <row r="80" customFormat="false" ht="15" hidden="false" customHeight="false" outlineLevel="0" collapsed="false">
      <c r="A80" s="8"/>
      <c r="B80" s="8"/>
      <c r="C80" s="8"/>
      <c r="D80" s="9"/>
      <c r="E80" s="8"/>
      <c r="F80" s="8"/>
      <c r="G80" s="6"/>
    </row>
    <row r="81" customFormat="false" ht="15" hidden="false" customHeight="false" outlineLevel="0" collapsed="false">
      <c r="A81" s="8"/>
      <c r="B81" s="8"/>
      <c r="C81" s="8"/>
      <c r="D81" s="9"/>
      <c r="E81" s="8"/>
      <c r="F81" s="8"/>
      <c r="G81" s="6"/>
    </row>
    <row r="82" customFormat="false" ht="15" hidden="false" customHeight="false" outlineLevel="0" collapsed="false">
      <c r="A82" s="8"/>
      <c r="B82" s="8"/>
      <c r="C82" s="8"/>
      <c r="D82" s="9"/>
      <c r="E82" s="8"/>
      <c r="F82" s="8"/>
      <c r="G82" s="6"/>
    </row>
    <row r="83" customFormat="false" ht="15" hidden="false" customHeight="false" outlineLevel="0" collapsed="false">
      <c r="A83" s="8"/>
      <c r="B83" s="8"/>
      <c r="C83" s="8"/>
      <c r="D83" s="9"/>
      <c r="E83" s="8"/>
      <c r="F83" s="8"/>
      <c r="G83" s="6"/>
    </row>
    <row r="84" customFormat="false" ht="15" hidden="false" customHeight="false" outlineLevel="0" collapsed="false">
      <c r="A84" s="8"/>
      <c r="B84" s="8"/>
      <c r="C84" s="8"/>
      <c r="D84" s="9"/>
      <c r="E84" s="8"/>
      <c r="F84" s="8"/>
      <c r="G84" s="6"/>
    </row>
    <row r="85" customFormat="false" ht="15" hidden="false" customHeight="false" outlineLevel="0" collapsed="false">
      <c r="A85" s="8"/>
      <c r="B85" s="8"/>
      <c r="C85" s="8"/>
      <c r="D85" s="9"/>
      <c r="E85" s="8"/>
      <c r="F85" s="8"/>
      <c r="G85" s="6"/>
    </row>
    <row r="86" customFormat="false" ht="15" hidden="false" customHeight="false" outlineLevel="0" collapsed="false">
      <c r="A86" s="8"/>
      <c r="B86" s="8"/>
      <c r="C86" s="8"/>
      <c r="D86" s="9"/>
      <c r="E86" s="8"/>
      <c r="F86" s="8"/>
      <c r="G86" s="6"/>
    </row>
    <row r="87" customFormat="false" ht="15" hidden="false" customHeight="false" outlineLevel="0" collapsed="false">
      <c r="A87" s="8"/>
      <c r="B87" s="8"/>
      <c r="C87" s="8"/>
      <c r="D87" s="9"/>
      <c r="E87" s="8"/>
      <c r="F87" s="8"/>
      <c r="G87" s="6"/>
    </row>
    <row r="88" customFormat="false" ht="15" hidden="false" customHeight="false" outlineLevel="0" collapsed="false">
      <c r="A88" s="8"/>
      <c r="B88" s="8"/>
      <c r="C88" s="8"/>
      <c r="D88" s="9"/>
      <c r="E88" s="8"/>
      <c r="F88" s="8"/>
      <c r="G88" s="6"/>
    </row>
    <row r="89" customFormat="false" ht="15" hidden="false" customHeight="false" outlineLevel="0" collapsed="false">
      <c r="A89" s="8"/>
      <c r="B89" s="8"/>
      <c r="C89" s="8"/>
      <c r="D89" s="9"/>
      <c r="E89" s="8"/>
      <c r="F89" s="8"/>
      <c r="G89" s="6"/>
    </row>
    <row r="90" customFormat="false" ht="15" hidden="false" customHeight="false" outlineLevel="0" collapsed="false">
      <c r="A90" s="8"/>
      <c r="B90" s="8"/>
      <c r="C90" s="8"/>
      <c r="D90" s="9"/>
      <c r="E90" s="8"/>
      <c r="F90" s="8"/>
      <c r="G90" s="6"/>
    </row>
    <row r="91" customFormat="false" ht="15" hidden="false" customHeight="false" outlineLevel="0" collapsed="false">
      <c r="A91" s="8"/>
      <c r="B91" s="8"/>
      <c r="C91" s="8"/>
      <c r="D91" s="9"/>
      <c r="E91" s="8"/>
      <c r="F91" s="8"/>
      <c r="G91" s="6"/>
    </row>
    <row r="92" customFormat="false" ht="15" hidden="false" customHeight="false" outlineLevel="0" collapsed="false">
      <c r="A92" s="8"/>
      <c r="B92" s="8"/>
      <c r="C92" s="8"/>
      <c r="D92" s="9"/>
      <c r="E92" s="8"/>
      <c r="F92" s="8"/>
      <c r="G92" s="6"/>
    </row>
    <row r="93" customFormat="false" ht="15" hidden="false" customHeight="false" outlineLevel="0" collapsed="false">
      <c r="A93" s="8"/>
      <c r="B93" s="8"/>
      <c r="C93" s="8"/>
      <c r="D93" s="9"/>
      <c r="E93" s="8"/>
      <c r="F93" s="8"/>
      <c r="G93" s="6"/>
    </row>
    <row r="94" customFormat="false" ht="15" hidden="false" customHeight="false" outlineLevel="0" collapsed="false">
      <c r="A94" s="8"/>
      <c r="B94" s="8"/>
      <c r="C94" s="8"/>
      <c r="D94" s="9"/>
      <c r="E94" s="8"/>
      <c r="F94" s="8"/>
      <c r="G94" s="6"/>
    </row>
    <row r="95" customFormat="false" ht="15" hidden="false" customHeight="false" outlineLevel="0" collapsed="false">
      <c r="A95" s="8"/>
      <c r="B95" s="8"/>
      <c r="C95" s="8"/>
      <c r="D95" s="9"/>
      <c r="E95" s="8"/>
      <c r="F95" s="8"/>
      <c r="G95" s="6"/>
    </row>
    <row r="96" customFormat="false" ht="15" hidden="false" customHeight="false" outlineLevel="0" collapsed="false">
      <c r="A96" s="8"/>
      <c r="B96" s="8"/>
      <c r="C96" s="8"/>
      <c r="D96" s="9"/>
      <c r="E96" s="8"/>
      <c r="F96" s="8"/>
      <c r="G96" s="6"/>
    </row>
    <row r="97" customFormat="false" ht="15" hidden="false" customHeight="false" outlineLevel="0" collapsed="false">
      <c r="A97" s="8"/>
      <c r="B97" s="8"/>
      <c r="C97" s="8"/>
      <c r="D97" s="9"/>
      <c r="E97" s="8"/>
      <c r="F97" s="8"/>
      <c r="G97" s="6"/>
    </row>
    <row r="98" customFormat="false" ht="15" hidden="false" customHeight="false" outlineLevel="0" collapsed="false">
      <c r="A98" s="8"/>
      <c r="B98" s="8"/>
      <c r="C98" s="8"/>
      <c r="D98" s="9"/>
      <c r="E98" s="8"/>
      <c r="F98" s="8"/>
      <c r="G98" s="6"/>
    </row>
  </sheetData>
  <dataValidations count="4">
    <dataValidation allowBlank="true" errorStyle="stop" operator="between" showDropDown="false" showErrorMessage="false" showInputMessage="false" sqref="B2:B98" type="list">
      <formula1>"False positive,False negative"</formula1>
      <formula2>0</formula2>
    </dataValidation>
    <dataValidation allowBlank="true" errorStyle="stop" operator="between" showDropDown="false" showErrorMessage="false" showInputMessage="false" sqref="C2:C98" type="list">
      <formula1>"Leaf,Stem"</formula1>
      <formula2>0</formula2>
    </dataValidation>
    <dataValidation allowBlank="true" errorStyle="stop" operator="between" showDropDown="false" showErrorMessage="false" showInputMessage="false" sqref="E2:E98" type="list">
      <formula1>"Missing label,Model error,Unclear,False negative"</formula1>
      <formula2>0</formula2>
    </dataValidation>
    <dataValidation allowBlank="true" errorStyle="stop" operator="between" showDropDown="false" showErrorMessage="false" showInputMessage="false" sqref="F2:F98" type="list">
      <formula1>"Thin,Small,Occluded,Border,Blurry,Unknown"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3" t="s">
        <v>117</v>
      </c>
      <c r="B3" s="10" t="n">
        <v>16</v>
      </c>
    </row>
    <row r="5" customFormat="false" ht="15" hidden="false" customHeight="false" outlineLevel="0" collapsed="false">
      <c r="A5" s="11" t="s">
        <v>118</v>
      </c>
      <c r="B5" s="11" t="s">
        <v>119</v>
      </c>
      <c r="C5" s="11" t="s">
        <v>38</v>
      </c>
      <c r="D5" s="11" t="s">
        <v>48</v>
      </c>
      <c r="E5" s="11" t="s">
        <v>120</v>
      </c>
    </row>
    <row r="6" customFormat="false" ht="15" hidden="false" customHeight="false" outlineLevel="0" collapsed="false">
      <c r="A6" s="6" t="s">
        <v>7</v>
      </c>
      <c r="B6" s="6" t="n">
        <f aca="false">COUNTIFS(Audit!$B$2:$B$98,"False positive",Audit!$E$2:$E$98,"Missing label")</f>
        <v>8</v>
      </c>
      <c r="C6" s="6" t="n">
        <f aca="false">COUNTIFS(Audit!$B$2:$B$98,"False positive",Audit!$E$2:$E$98,"Missing label",Audit!$C$2:$C$98,"Leaf")</f>
        <v>8</v>
      </c>
      <c r="D6" s="6" t="n">
        <f aca="false">COUNTIFS(Audit!$B$2:$B$98,"False positive",Audit!$E$2:$E$98,"Missing label",Audit!$C$2:$C$98,"Stem")</f>
        <v>0</v>
      </c>
      <c r="E6" s="12" t="n">
        <f aca="false">IF($B$9=0,0,B6/$B$9)</f>
        <v>0.210526315789474</v>
      </c>
    </row>
    <row r="7" customFormat="false" ht="15" hidden="false" customHeight="false" outlineLevel="0" collapsed="false">
      <c r="A7" s="6" t="s">
        <v>11</v>
      </c>
      <c r="B7" s="6" t="n">
        <f aca="false">COUNTIFS(Audit!$B$2:$B$98,"False positive",Audit!$E$2:$E$98,"Model error")</f>
        <v>14</v>
      </c>
      <c r="C7" s="6" t="n">
        <f aca="false">COUNTIFS(Audit!$B$2:$B$98,"False positive",Audit!$E$2:$E$98,"Model error",Audit!$C$2:$C$98,"Leaf")</f>
        <v>12</v>
      </c>
      <c r="D7" s="6" t="n">
        <f aca="false">COUNTIFS(Audit!$B$2:$B$98,"False positive",Audit!$E$2:$E$98,"Model error",Audit!$C$2:$C$98,"Stem")</f>
        <v>2</v>
      </c>
      <c r="E7" s="12" t="n">
        <f aca="false">IF($B$9=0,0,B7/$B$9)</f>
        <v>0.368421052631579</v>
      </c>
    </row>
    <row r="8" customFormat="false" ht="15" hidden="false" customHeight="false" outlineLevel="0" collapsed="false">
      <c r="A8" s="6" t="s">
        <v>9</v>
      </c>
      <c r="B8" s="6" t="n">
        <f aca="false">COUNTIFS(Audit!$B$2:$B$98,"False positive",Audit!$E$2:$E$98,"Unclear")</f>
        <v>16</v>
      </c>
      <c r="C8" s="6" t="n">
        <f aca="false">COUNTIFS(Audit!$B$2:$B$98,"False positive",Audit!$E$2:$E$98,"Unclear",Audit!$C$2:$C$98,"Leaf")</f>
        <v>11</v>
      </c>
      <c r="D8" s="6" t="n">
        <f aca="false">COUNTIFS(Audit!$B$2:$B$98,"False positive",Audit!$E$2:$E$98,"Unclear",Audit!$C$2:$C$98,"Stem")</f>
        <v>5</v>
      </c>
      <c r="E8" s="12" t="n">
        <f aca="false">IF($B$9=0,0,B8/$B$9)</f>
        <v>0.421052631578947</v>
      </c>
    </row>
    <row r="9" customFormat="false" ht="15" hidden="false" customHeight="false" outlineLevel="0" collapsed="false">
      <c r="A9" s="13" t="s">
        <v>121</v>
      </c>
      <c r="B9" s="13" t="n">
        <f aca="false">SUM(B6:B8)</f>
        <v>38</v>
      </c>
      <c r="C9" s="13" t="n">
        <f aca="false">SUM(C6:C8)</f>
        <v>31</v>
      </c>
      <c r="D9" s="13" t="n">
        <f aca="false">SUM(D6:D8)</f>
        <v>7</v>
      </c>
      <c r="E9" s="14" t="n">
        <f aca="false">IF(B9=0,0,SUM(E6:E8))</f>
        <v>1</v>
      </c>
    </row>
    <row r="11" customFormat="false" ht="15" hidden="false" customHeight="false" outlineLevel="0" collapsed="false">
      <c r="A11" s="11" t="s">
        <v>122</v>
      </c>
      <c r="B11" s="11" t="s">
        <v>119</v>
      </c>
      <c r="C11" s="11" t="s">
        <v>38</v>
      </c>
      <c r="D11" s="11" t="s">
        <v>48</v>
      </c>
    </row>
    <row r="12" customFormat="false" ht="15" hidden="false" customHeight="false" outlineLevel="0" collapsed="false">
      <c r="A12" s="6" t="s">
        <v>85</v>
      </c>
      <c r="B12" s="6" t="n">
        <f aca="false">COUNTIFS(Audit!$B$2:$B$98,"False negative",Audit!$F$2:$F$98,"Thin")</f>
        <v>11</v>
      </c>
      <c r="C12" s="6" t="n">
        <f aca="false">COUNTIFS(Audit!$B$2:$B$98,"False negative",Audit!$F$2:$F$98,"Thin",Audit!$C$2:$C$98,"Leaf")</f>
        <v>1</v>
      </c>
      <c r="D12" s="6" t="n">
        <f aca="false">COUNTIFS(Audit!$B$2:$B$98,"False negative",Audit!$F$2:$F$98,"Thin",Audit!$C$2:$C$98,"Stem")</f>
        <v>10</v>
      </c>
    </row>
    <row r="13" customFormat="false" ht="15" hidden="false" customHeight="false" outlineLevel="0" collapsed="false">
      <c r="A13" s="6" t="s">
        <v>92</v>
      </c>
      <c r="B13" s="6" t="n">
        <f aca="false">COUNTIFS(Audit!$B$2:$B$98,"False negative",Audit!$F$2:$F$98,"Small")</f>
        <v>6</v>
      </c>
      <c r="C13" s="6" t="n">
        <f aca="false">COUNTIFS(Audit!$B$2:$B$98,"False negative",Audit!$F$2:$F$98,"Small",Audit!$C$2:$C$98,"Leaf")</f>
        <v>0</v>
      </c>
      <c r="D13" s="6" t="n">
        <f aca="false">COUNTIFS(Audit!$B$2:$B$98,"False negative",Audit!$F$2:$F$98,"Small",Audit!$C$2:$C$98,"Stem")</f>
        <v>6</v>
      </c>
    </row>
    <row r="14" customFormat="false" ht="15" hidden="false" customHeight="false" outlineLevel="0" collapsed="false">
      <c r="A14" s="6" t="s">
        <v>16</v>
      </c>
      <c r="B14" s="6" t="n">
        <f aca="false">COUNTIFS(Audit!$B$2:$B$98,"False negative",Audit!$F$2:$F$98,"Occluded")</f>
        <v>9</v>
      </c>
      <c r="C14" s="6" t="n">
        <f aca="false">COUNTIFS(Audit!$B$2:$B$98,"False negative",Audit!$F$2:$F$98,"Occluded",Audit!$C$2:$C$98,"Leaf")</f>
        <v>4</v>
      </c>
      <c r="D14" s="6" t="n">
        <f aca="false">COUNTIFS(Audit!$B$2:$B$98,"False negative",Audit!$F$2:$F$98,"Occluded",Audit!$C$2:$C$98,"Stem")</f>
        <v>5</v>
      </c>
    </row>
    <row r="15" customFormat="false" ht="15" hidden="false" customHeight="false" outlineLevel="0" collapsed="false">
      <c r="A15" s="6" t="s">
        <v>18</v>
      </c>
      <c r="B15" s="6" t="n">
        <f aca="false">COUNTIFS(Audit!$B$2:$B$98,"False negative",Audit!$F$2:$F$98,"Border")</f>
        <v>1</v>
      </c>
      <c r="C15" s="6" t="n">
        <f aca="false">COUNTIFS(Audit!$B$2:$B$98,"False negative",Audit!$F$2:$F$98,"Border",Audit!$C$2:$C$98,"Leaf")</f>
        <v>0</v>
      </c>
      <c r="D15" s="6" t="n">
        <f aca="false">COUNTIFS(Audit!$B$2:$B$98,"False negative",Audit!$F$2:$F$98,"Border",Audit!$C$2:$C$98,"Stem")</f>
        <v>1</v>
      </c>
    </row>
    <row r="16" customFormat="false" ht="15" hidden="false" customHeight="false" outlineLevel="0" collapsed="false">
      <c r="A16" s="6" t="s">
        <v>123</v>
      </c>
      <c r="B16" s="6" t="n">
        <f aca="false">COUNTIFS(Audit!$B$2:$B$98,"False negative",Audit!$F$2:$F$98,"Blurry")</f>
        <v>0</v>
      </c>
      <c r="C16" s="6" t="n">
        <f aca="false">COUNTIFS(Audit!$B$2:$B$98,"False negative",Audit!$F$2:$F$98,"Blurry",Audit!$C$2:$C$98,"Leaf")</f>
        <v>0</v>
      </c>
      <c r="D16" s="6" t="n">
        <f aca="false">COUNTIFS(Audit!$B$2:$B$98,"False negative",Audit!$F$2:$F$98,"Blurry",Audit!$C$2:$C$98,"Stem")</f>
        <v>0</v>
      </c>
    </row>
    <row r="17" customFormat="false" ht="15" hidden="false" customHeight="false" outlineLevel="0" collapsed="false">
      <c r="A17" s="6" t="s">
        <v>20</v>
      </c>
      <c r="B17" s="6" t="n">
        <f aca="false">COUNTIFS(Audit!$B$2:$B$98,"False negative",Audit!$F$2:$F$98,"Unknown")</f>
        <v>1</v>
      </c>
      <c r="C17" s="6" t="n">
        <f aca="false">COUNTIFS(Audit!$B$2:$B$98,"False negative",Audit!$F$2:$F$98,"Unknown",Audit!$C$2:$C$98,"Leaf")</f>
        <v>0</v>
      </c>
      <c r="D17" s="6" t="n">
        <f aca="false">COUNTIFS(Audit!$B$2:$B$98,"False negative",Audit!$F$2:$F$98,"Unknown",Audit!$C$2:$C$98,"Stem")</f>
        <v>1</v>
      </c>
    </row>
    <row r="18" customFormat="false" ht="15" hidden="false" customHeight="false" outlineLevel="0" collapsed="false">
      <c r="A18" s="13" t="s">
        <v>124</v>
      </c>
      <c r="B18" s="13" t="n">
        <f aca="false">SUM(B12:B17)</f>
        <v>28</v>
      </c>
      <c r="C18" s="13" t="n">
        <f aca="false">SUM(C12:C17)</f>
        <v>5</v>
      </c>
      <c r="D18" s="13" t="n">
        <f aca="false">SUM(D12:D17)</f>
        <v>23</v>
      </c>
    </row>
    <row r="20" customFormat="false" ht="15" hidden="false" customHeight="false" outlineLevel="0" collapsed="false">
      <c r="A20" s="3" t="s">
        <v>125</v>
      </c>
    </row>
    <row r="21" customFormat="false" ht="15" hidden="false" customHeight="false" outlineLevel="0" collapsed="false">
      <c r="A21" s="15" t="str">
        <f aca="false">"In a sample of "&amp;B3&amp;" validation images, "&amp;TEXT(E6,"0%")&amp;" of the "&amp;B9&amp;" false positives were visible objects missing from the labels, "&amp;TEXT(E7,"0%")&amp;" were model errors and "&amp;TEXT(E8,"0%")&amp;" were unclear. The model missed "&amp;B18&amp;" labeled objects ("&amp;D18&amp;" stems)."</f>
        <v>In a sample of 16 validation images, 21% of the 38 false positives were visible objects missing from the labels, 37% were model errors and 42% were unclear. The model missed 28 labeled objects (23 stems).</v>
      </c>
      <c r="B21" s="15"/>
      <c r="C21" s="15"/>
      <c r="D21" s="15"/>
      <c r="E21" s="15"/>
    </row>
    <row r="22" customFormat="false" ht="15" hidden="false" customHeight="false" outlineLevel="0" collapsed="false">
      <c r="A22" s="15"/>
      <c r="B22" s="15"/>
      <c r="C22" s="15"/>
      <c r="D22" s="15"/>
      <c r="E22" s="15"/>
    </row>
    <row r="23" customFormat="false" ht="15" hidden="false" customHeight="false" outlineLevel="0" collapsed="false">
      <c r="A23" s="15"/>
      <c r="B23" s="15"/>
      <c r="C23" s="15"/>
      <c r="D23" s="15"/>
      <c r="E23" s="15"/>
    </row>
    <row r="24" customFormat="false" ht="15" hidden="false" customHeight="false" outlineLevel="0" collapsed="false">
      <c r="A24" s="15"/>
      <c r="B24" s="15"/>
      <c r="C24" s="15"/>
      <c r="D24" s="15"/>
      <c r="E24" s="15"/>
    </row>
  </sheetData>
  <mergeCells count="1">
    <mergeCell ref="A21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2026-10-23T00:32:45Z</dcterms:created>
  <dc:creator>openpyxl</dc:creator>
  <dc:description/>
  <dc:language>en-US</dc:language>
  <cp:lastModifiedBy/>
  <dcterms:modified xsi:type="dcterms:W3CDTF">2026-10-23T00:32:45Z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